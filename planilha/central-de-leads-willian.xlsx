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NTRAL DE LEADS" sheetId="1" state="visible" r:id="rId3"/>
    <sheet name="VISÃO MACR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<sst xmlns="http://schemas.openxmlformats.org/spreadsheetml/2006/main" count="98" uniqueCount="76">
  <si>
    <t xml:space="preserve">CENTRAL DE LEADS — WILLIAN MOITINHO NUTRICIONISTA</t>
  </si>
  <si>
    <t xml:space="preserve">✏️  Preencha apenas as colunas AMARELAS (Respondeu?, PUV?, Agendou?, Comprou?, Tipo e Valor). As demais chegam automáticas da página.</t>
  </si>
  <si>
    <t xml:space="preserve">🟢  VERDE = Preenchido automático pela página</t>
  </si>
  <si>
    <t xml:space="preserve">🟡  AMARELO = Nutri/Secretária preenche</t>
  </si>
  <si>
    <t xml:space="preserve">⬜  BRANCO = Calculado automaticamente pela planilha</t>
  </si>
  <si>
    <t xml:space="preserve">#</t>
  </si>
  <si>
    <t xml:space="preserve">DATA DE ENTRADA</t>
  </si>
  <si>
    <t xml:space="preserve">NOME COMPLETO</t>
  </si>
  <si>
    <t xml:space="preserve">TELEFONE WHATSAPP</t>
  </si>
  <si>
    <t xml:space="preserve">OBJETIVO</t>
  </si>
  <si>
    <t xml:space="preserve">RESPONDEU PRIMEIRA MSG?</t>
  </si>
  <si>
    <t xml:space="preserve">RECEBEU PUV?</t>
  </si>
  <si>
    <t xml:space="preserve">AGENDOU CONSULTA?</t>
  </si>
  <si>
    <t xml:space="preserve">COMPROU?</t>
  </si>
  <si>
    <t xml:space="preserve">TIPO (Avulsa/PN)</t>
  </si>
  <si>
    <t xml:space="preserve">VALOR (R$)</t>
  </si>
  <si>
    <t xml:space="preserve">ORIGEM</t>
  </si>
  <si>
    <t xml:space="preserve">UTM SOURCE</t>
  </si>
  <si>
    <t xml:space="preserve">UTM MEDIUM</t>
  </si>
  <si>
    <t xml:space="preserve">UTM CAMPAIGN</t>
  </si>
  <si>
    <t xml:space="preserve">UTM CONTENT</t>
  </si>
  <si>
    <t xml:space="preserve">STATUS GERAL</t>
  </si>
  <si>
    <t xml:space="preserve">Ana Paula Souza</t>
  </si>
  <si>
    <t xml:space="preserve">(43) 99999-0001</t>
  </si>
  <si>
    <t xml:space="preserve">Emagrecer e perder peso</t>
  </si>
  <si>
    <t xml:space="preserve">NÃO</t>
  </si>
  <si>
    <t xml:space="preserve">ADS</t>
  </si>
  <si>
    <t xml:space="preserve">meta</t>
  </si>
  <si>
    <t xml:space="preserve">cpc</t>
  </si>
  <si>
    <t xml:space="preserve">[WM] [LEADS] Emagrecimento</t>
  </si>
  <si>
    <t xml:space="preserve">IG Feed Mulheres 25-45</t>
  </si>
  <si>
    <t xml:space="preserve">Bruno Carvalho</t>
  </si>
  <si>
    <t xml:space="preserve">(43) 99999-0002</t>
  </si>
  <si>
    <t xml:space="preserve">Ganhar massa muscular</t>
  </si>
  <si>
    <t xml:space="preserve">BIO</t>
  </si>
  <si>
    <t xml:space="preserve">instagram</t>
  </si>
  <si>
    <t xml:space="preserve">bio</t>
  </si>
  <si>
    <t xml:space="preserve">lipedema</t>
  </si>
  <si>
    <t xml:space="preserve">link-bio</t>
  </si>
  <si>
    <t xml:space="preserve">Carla Menezes</t>
  </si>
  <si>
    <t xml:space="preserve">(43) 99999-0003</t>
  </si>
  <si>
    <t xml:space="preserve">Definição corporal</t>
  </si>
  <si>
    <t xml:space="preserve">[WM] [LEADS] Definição</t>
  </si>
  <si>
    <t xml:space="preserve">IG Stories</t>
  </si>
  <si>
    <t xml:space="preserve">Diego Alves</t>
  </si>
  <si>
    <t xml:space="preserve">(43) 99999-0004</t>
  </si>
  <si>
    <t xml:space="preserve">Mais energia e performance</t>
  </si>
  <si>
    <t xml:space="preserve">DIRETO</t>
  </si>
  <si>
    <t xml:space="preserve">VISÃO MACRO — PERFORMANCE CONSOLIDADA</t>
  </si>
  <si>
    <t xml:space="preserve">🖊️  Preencha Investimento Total e CPL Meta na tabela abaixo. Os demais dados vêm da aba CENTRAL DE LEADS.</t>
  </si>
  <si>
    <t xml:space="preserve">📌  INDICADORES GERAIS</t>
  </si>
  <si>
    <t xml:space="preserve">INDICADOR</t>
  </si>
  <si>
    <t xml:space="preserve">VALOR</t>
  </si>
  <si>
    <t xml:space="preserve">Total de Leads</t>
  </si>
  <si>
    <t xml:space="preserve">Leads que Responderam</t>
  </si>
  <si>
    <t xml:space="preserve">Leads que Receberam PUV</t>
  </si>
  <si>
    <t xml:space="preserve">Leads que Agendaram</t>
  </si>
  <si>
    <t xml:space="preserve">Leads Convertidos (Compra)</t>
  </si>
  <si>
    <t xml:space="preserve">Taxa de Resposta</t>
  </si>
  <si>
    <t xml:space="preserve">Taxa de Conversão (Leads→Venda)</t>
  </si>
  <si>
    <t xml:space="preserve">Taxa de Conversão (Agend→Venda)</t>
  </si>
  <si>
    <t xml:space="preserve">Faturamento Total</t>
  </si>
  <si>
    <t xml:space="preserve">Investimento Total (R$) 🟡</t>
  </si>
  <si>
    <t xml:space="preserve">CPL Meta (R$) 🟡</t>
  </si>
  <si>
    <t xml:space="preserve">Custo por Lead (CPL Real)</t>
  </si>
  <si>
    <t xml:space="preserve">Custo por Lead Qualificado</t>
  </si>
  <si>
    <t xml:space="preserve">Custo por Venda</t>
  </si>
  <si>
    <t xml:space="preserve">ROAS</t>
  </si>
  <si>
    <t xml:space="preserve">📍  LEADS POR ORIGEM</t>
  </si>
  <si>
    <t xml:space="preserve">TOTAL LEADS</t>
  </si>
  <si>
    <t xml:space="preserve">CONVERTIDOS</t>
  </si>
  <si>
    <t xml:space="preserve">FATURAMENTO</t>
  </si>
  <si>
    <t xml:space="preserve">TX CONVERSÃO</t>
  </si>
  <si>
    <t xml:space="preserve">CUSTO POR VENDA</t>
  </si>
  <si>
    <t xml:space="preserve">GOOGLE</t>
  </si>
  <si>
    <t xml:space="preserve">INDICAÇÃO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</si>
</sst>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&quot;R$ &quot;#,##0.00"/>
    <numFmt numFmtId="167" formatCode="0"/>
    <numFmt numFmtId="168" formatCode="0.0%"/>
    <numFmt numFmtId="169" formatCode="0.00\x"/>
    <numFmt numFmtId="170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B8860B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234C36"/>
      <name val="Arial"/>
      <family val="0"/>
      <charset val="1"/>
    </font>
    <font>
      <b val="true"/>
      <sz val="9"/>
      <color rgb="FF9C4221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34C36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1F4E7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E5631"/>
        <bgColor rgb="FF234C36"/>
      </patternFill>
    </fill>
    <fill>
      <patternFill patternType="solid">
        <fgColor rgb="FFFFF8E1"/>
        <bgColor rgb="FFFFF6D5"/>
      </patternFill>
    </fill>
    <fill>
      <patternFill patternType="solid">
        <fgColor rgb="FFD9EAD3"/>
        <bgColor rgb="FFE9F3EC"/>
      </patternFill>
    </fill>
    <fill>
      <patternFill patternType="solid">
        <fgColor rgb="FFFCE9A8"/>
        <bgColor rgb="FFFFF3CD"/>
      </patternFill>
    </fill>
    <fill>
      <patternFill patternType="solid">
        <fgColor rgb="FFEFEFEF"/>
        <bgColor rgb="FFE9F3EC"/>
      </patternFill>
    </fill>
    <fill>
      <patternFill patternType="solid">
        <fgColor rgb="FFA9CBB7"/>
        <bgColor rgb="FFD0D0D0"/>
      </patternFill>
    </fill>
    <fill>
      <patternFill patternType="solid">
        <fgColor rgb="FFE9F3EC"/>
        <bgColor rgb="FFEFEFEF"/>
      </patternFill>
    </fill>
    <fill>
      <patternFill patternType="solid">
        <fgColor rgb="FFFFF6D5"/>
        <bgColor rgb="FFFFF3CD"/>
      </patternFill>
    </fill>
    <fill>
      <patternFill patternType="solid">
        <fgColor rgb="FFFFFFFF"/>
        <bgColor rgb="FFF4F8F5"/>
      </patternFill>
    </fill>
    <fill>
      <patternFill patternType="solid">
        <fgColor rgb="FF2E7D46"/>
        <bgColor rgb="FF008080"/>
      </patternFill>
    </fill>
    <fill>
      <patternFill patternType="solid">
        <fgColor rgb="FFF4F8F5"/>
        <bgColor rgb="FFEFEFEF"/>
      </patternFill>
    </fill>
    <fill>
      <patternFill patternType="solid">
        <fgColor rgb="FFFFF3CD"/>
        <bgColor rgb="FFFFF6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A9CBB7"/>
      <rgbColor rgb="FF808080"/>
      <rgbColor rgb="FF9999FF"/>
      <rgbColor rgb="FF993366"/>
      <rgbColor rgb="FFFFF6D5"/>
      <rgbColor rgb="FFE9F3EC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8F5"/>
      <rgbColor rgb="FFD9EAD3"/>
      <rgbColor rgb="FFFCE9A8"/>
      <rgbColor rgb="FFEFEFEF"/>
      <rgbColor rgb="FFFFF8E1"/>
      <rgbColor rgb="FFCC99FF"/>
      <rgbColor rgb="FFFFF3C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7D46"/>
      <rgbColor rgb="FF003300"/>
      <rgbColor rgb="FF1E5631"/>
      <rgbColor rgb="FF9C4221"/>
      <rgbColor rgb="FF993366"/>
      <rgbColor rgb="FF1F4E79"/>
      <rgbColor rgb="FF234C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4" min="13" style="0" width="12"/>
    <col collapsed="false" customWidth="true" hidden="false" outlineLevel="0" max="15" min="15" style="0" width="32"/>
    <col collapsed="false" customWidth="true" hidden="false" outlineLevel="0" max="16" min="16" style="0" width="38"/>
    <col collapsed="false" customWidth="true" hidden="false" outlineLevel="0" max="17" min="17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4" t="s">
        <v>3</v>
      </c>
      <c r="G3" s="4"/>
      <c r="H3" s="4"/>
      <c r="I3" s="4"/>
      <c r="J3" s="4"/>
      <c r="K3" s="4"/>
      <c r="L3" s="5" t="s">
        <v>4</v>
      </c>
      <c r="M3" s="5"/>
      <c r="N3" s="5"/>
      <c r="O3" s="5"/>
      <c r="P3" s="5"/>
      <c r="Q3" s="5"/>
    </row>
    <row r="4" customFormat="false" ht="39.75" hidden="false" customHeight="true" outlineLevel="0" collapsed="false">
      <c r="A4" s="6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7" t="s">
        <v>16</v>
      </c>
      <c r="M4" s="7" t="s">
        <v>17</v>
      </c>
      <c r="N4" s="7" t="s">
        <v>18</v>
      </c>
      <c r="O4" s="7" t="s">
        <v>19</v>
      </c>
      <c r="P4" s="7" t="s">
        <v>20</v>
      </c>
      <c r="Q4" s="6" t="s">
        <v>21</v>
      </c>
    </row>
    <row r="5" customFormat="false" ht="15" hidden="false" customHeight="false" outlineLevel="0" collapsed="false">
      <c r="A5" s="9" t="n">
        <v>1</v>
      </c>
      <c r="B5" s="10" t="n">
        <v>46182</v>
      </c>
      <c r="C5" s="11" t="s">
        <v>22</v>
      </c>
      <c r="D5" s="12" t="s">
        <v>23</v>
      </c>
      <c r="E5" s="11" t="s">
        <v>24</v>
      </c>
      <c r="F5" s="13" t="s">
        <v>25</v>
      </c>
      <c r="G5" s="13" t="s">
        <v>25</v>
      </c>
      <c r="H5" s="13" t="s">
        <v>25</v>
      </c>
      <c r="I5" s="13" t="s">
        <v>25</v>
      </c>
      <c r="J5" s="13"/>
      <c r="K5" s="14"/>
      <c r="L5" s="12" t="s">
        <v>26</v>
      </c>
      <c r="M5" s="12" t="s">
        <v>27</v>
      </c>
      <c r="N5" s="12" t="s">
        <v>28</v>
      </c>
      <c r="O5" s="11" t="s">
        <v>29</v>
      </c>
      <c r="P5" s="11" t="s">
        <v>30</v>
      </c>
      <c r="Q5" s="15" t="str">
        <f aca="false">IF(C5="","",IF(I5="SIM","Cliente 💰",IF(H5="SIM","Agendado 📅",IF(G5="SIM","Recebeu PUV",IF(F5="SIM","Em conversa","Novo Lead")))))</f>
        <v>Novo Lead</v>
      </c>
    </row>
    <row r="6" customFormat="false" ht="15" hidden="false" customHeight="false" outlineLevel="0" collapsed="false">
      <c r="A6" s="9" t="n">
        <v>2</v>
      </c>
      <c r="B6" s="10" t="n">
        <v>46182</v>
      </c>
      <c r="C6" s="11" t="s">
        <v>31</v>
      </c>
      <c r="D6" s="12" t="s">
        <v>32</v>
      </c>
      <c r="E6" s="11" t="s">
        <v>33</v>
      </c>
      <c r="F6" s="13" t="s">
        <v>25</v>
      </c>
      <c r="G6" s="13" t="s">
        <v>25</v>
      </c>
      <c r="H6" s="13" t="s">
        <v>25</v>
      </c>
      <c r="I6" s="13" t="s">
        <v>25</v>
      </c>
      <c r="J6" s="13"/>
      <c r="K6" s="14"/>
      <c r="L6" s="12" t="s">
        <v>34</v>
      </c>
      <c r="M6" s="12" t="s">
        <v>35</v>
      </c>
      <c r="N6" s="12" t="s">
        <v>36</v>
      </c>
      <c r="O6" s="11" t="s">
        <v>37</v>
      </c>
      <c r="P6" s="11" t="s">
        <v>38</v>
      </c>
      <c r="Q6" s="15" t="str">
        <f aca="false">IF(C6="","",IF(I6="SIM","Cliente 💰",IF(H6="SIM","Agendado 📅",IF(G6="SIM","Recebeu PUV",IF(F6="SIM","Em conversa","Novo Lead")))))</f>
        <v>Novo Lead</v>
      </c>
    </row>
    <row r="7" customFormat="false" ht="15" hidden="false" customHeight="false" outlineLevel="0" collapsed="false">
      <c r="A7" s="9" t="n">
        <v>3</v>
      </c>
      <c r="B7" s="10" t="n">
        <v>46183</v>
      </c>
      <c r="C7" s="11" t="s">
        <v>39</v>
      </c>
      <c r="D7" s="12" t="s">
        <v>40</v>
      </c>
      <c r="E7" s="11" t="s">
        <v>41</v>
      </c>
      <c r="F7" s="13" t="s">
        <v>25</v>
      </c>
      <c r="G7" s="13" t="s">
        <v>25</v>
      </c>
      <c r="H7" s="13" t="s">
        <v>25</v>
      </c>
      <c r="I7" s="13" t="s">
        <v>25</v>
      </c>
      <c r="J7" s="13"/>
      <c r="K7" s="14"/>
      <c r="L7" s="12" t="s">
        <v>26</v>
      </c>
      <c r="M7" s="12" t="s">
        <v>27</v>
      </c>
      <c r="N7" s="12" t="s">
        <v>28</v>
      </c>
      <c r="O7" s="11" t="s">
        <v>42</v>
      </c>
      <c r="P7" s="11" t="s">
        <v>43</v>
      </c>
      <c r="Q7" s="15" t="str">
        <f aca="false">IF(C7="","",IF(I7="SIM","Cliente 💰",IF(H7="SIM","Agendado 📅",IF(G7="SIM","Recebeu PUV",IF(F7="SIM","Em conversa","Novo Lead")))))</f>
        <v>Novo Lead</v>
      </c>
    </row>
    <row r="8" customFormat="false" ht="15" hidden="false" customHeight="false" outlineLevel="0" collapsed="false">
      <c r="A8" s="9" t="n">
        <v>4</v>
      </c>
      <c r="B8" s="10" t="n">
        <v>46183</v>
      </c>
      <c r="C8" s="11" t="s">
        <v>44</v>
      </c>
      <c r="D8" s="12" t="s">
        <v>45</v>
      </c>
      <c r="E8" s="11" t="s">
        <v>46</v>
      </c>
      <c r="F8" s="13" t="s">
        <v>25</v>
      </c>
      <c r="G8" s="13" t="s">
        <v>25</v>
      </c>
      <c r="H8" s="13" t="s">
        <v>25</v>
      </c>
      <c r="I8" s="13" t="s">
        <v>25</v>
      </c>
      <c r="J8" s="13"/>
      <c r="K8" s="14"/>
      <c r="L8" s="12" t="s">
        <v>47</v>
      </c>
      <c r="M8" s="12"/>
      <c r="N8" s="12"/>
      <c r="O8" s="11"/>
      <c r="P8" s="11"/>
      <c r="Q8" s="15" t="str">
        <f aca="false">IF(C8="","",IF(I8="SIM","Cliente 💰",IF(H8="SIM","Agendado 📅",IF(G8="SIM","Recebeu PUV",IF(F8="SIM","Em conversa","Novo Lead")))))</f>
        <v>Novo Lead</v>
      </c>
    </row>
    <row r="9" customFormat="false" ht="15" hidden="false" customHeight="false" outlineLevel="0" collapsed="false">
      <c r="A9" s="9"/>
      <c r="B9" s="10"/>
      <c r="C9" s="11"/>
      <c r="D9" s="12"/>
      <c r="E9" s="11"/>
      <c r="F9" s="13"/>
      <c r="G9" s="13"/>
      <c r="H9" s="13"/>
      <c r="I9" s="13"/>
      <c r="J9" s="13"/>
      <c r="K9" s="14"/>
      <c r="L9" s="12"/>
      <c r="M9" s="12"/>
      <c r="N9" s="12"/>
      <c r="O9" s="11"/>
      <c r="P9" s="11"/>
      <c r="Q9" s="15"/>
    </row>
    <row r="10" customFormat="false" ht="15" hidden="false" customHeight="false" outlineLevel="0" collapsed="false">
      <c r="A10" s="9"/>
      <c r="B10" s="10"/>
      <c r="C10" s="11"/>
      <c r="D10" s="12"/>
      <c r="E10" s="11"/>
      <c r="F10" s="13"/>
      <c r="G10" s="13"/>
      <c r="H10" s="13"/>
      <c r="I10" s="13"/>
      <c r="J10" s="13"/>
      <c r="K10" s="14"/>
      <c r="L10" s="12"/>
      <c r="M10" s="12"/>
      <c r="N10" s="12"/>
      <c r="O10" s="11"/>
      <c r="P10" s="11"/>
      <c r="Q10" s="15"/>
    </row>
    <row r="11" customFormat="false" ht="15" hidden="false" customHeight="false" outlineLevel="0" collapsed="false">
      <c r="A11" s="9"/>
      <c r="B11" s="10"/>
      <c r="C11" s="11"/>
      <c r="D11" s="12"/>
      <c r="E11" s="11"/>
      <c r="F11" s="13"/>
      <c r="G11" s="13"/>
      <c r="H11" s="13"/>
      <c r="I11" s="13"/>
      <c r="J11" s="13"/>
      <c r="K11" s="14"/>
      <c r="L11" s="12"/>
      <c r="M11" s="12"/>
      <c r="N11" s="12"/>
      <c r="O11" s="11"/>
      <c r="P11" s="11"/>
      <c r="Q11" s="15"/>
    </row>
    <row r="12" customFormat="false" ht="15" hidden="false" customHeight="false" outlineLevel="0" collapsed="false">
      <c r="A12" s="9"/>
      <c r="B12" s="10"/>
      <c r="C12" s="11"/>
      <c r="D12" s="12"/>
      <c r="E12" s="11"/>
      <c r="F12" s="13"/>
      <c r="G12" s="13"/>
      <c r="H12" s="13"/>
      <c r="I12" s="13"/>
      <c r="J12" s="13"/>
      <c r="K12" s="14"/>
      <c r="L12" s="12"/>
      <c r="M12" s="12"/>
      <c r="N12" s="12"/>
      <c r="O12" s="11"/>
      <c r="P12" s="11"/>
      <c r="Q12" s="15"/>
    </row>
    <row r="13" customFormat="false" ht="15" hidden="false" customHeight="false" outlineLevel="0" collapsed="false">
      <c r="A13" s="9"/>
      <c r="B13" s="10"/>
      <c r="C13" s="11"/>
      <c r="D13" s="12"/>
      <c r="E13" s="11"/>
      <c r="F13" s="13"/>
      <c r="G13" s="13"/>
      <c r="H13" s="13"/>
      <c r="I13" s="13"/>
      <c r="J13" s="13"/>
      <c r="K13" s="14"/>
      <c r="L13" s="12"/>
      <c r="M13" s="12"/>
      <c r="N13" s="12"/>
      <c r="O13" s="11"/>
      <c r="P13" s="11"/>
      <c r="Q13" s="15"/>
    </row>
    <row r="14" customFormat="false" ht="15" hidden="false" customHeight="false" outlineLevel="0" collapsed="false">
      <c r="A14" s="9"/>
      <c r="B14" s="10"/>
      <c r="C14" s="11"/>
      <c r="D14" s="12"/>
      <c r="E14" s="11"/>
      <c r="F14" s="13"/>
      <c r="G14" s="13"/>
      <c r="H14" s="13"/>
      <c r="I14" s="13"/>
      <c r="J14" s="13"/>
      <c r="K14" s="14"/>
      <c r="L14" s="12"/>
      <c r="M14" s="12"/>
      <c r="N14" s="12"/>
      <c r="O14" s="11"/>
      <c r="P14" s="11"/>
      <c r="Q14" s="15"/>
    </row>
    <row r="15" customFormat="false" ht="15" hidden="false" customHeight="false" outlineLevel="0" collapsed="false">
      <c r="A15" s="9"/>
      <c r="B15" s="10"/>
      <c r="C15" s="11"/>
      <c r="D15" s="12"/>
      <c r="E15" s="11"/>
      <c r="F15" s="13"/>
      <c r="G15" s="13"/>
      <c r="H15" s="13"/>
      <c r="I15" s="13"/>
      <c r="J15" s="13"/>
      <c r="K15" s="14"/>
      <c r="L15" s="12"/>
      <c r="M15" s="12"/>
      <c r="N15" s="12"/>
      <c r="O15" s="11"/>
      <c r="P15" s="11"/>
      <c r="Q15" s="15"/>
    </row>
    <row r="16" customFormat="false" ht="15" hidden="false" customHeight="false" outlineLevel="0" collapsed="false">
      <c r="A16" s="9"/>
      <c r="B16" s="10"/>
      <c r="C16" s="11"/>
      <c r="D16" s="12"/>
      <c r="E16" s="11"/>
      <c r="F16" s="13"/>
      <c r="G16" s="13"/>
      <c r="H16" s="13"/>
      <c r="I16" s="13"/>
      <c r="J16" s="13"/>
      <c r="K16" s="14"/>
      <c r="L16" s="12"/>
      <c r="M16" s="12"/>
      <c r="N16" s="12"/>
      <c r="O16" s="11"/>
      <c r="P16" s="11"/>
      <c r="Q16" s="15"/>
    </row>
    <row r="17" customFormat="false" ht="15" hidden="false" customHeight="false" outlineLevel="0" collapsed="false">
      <c r="A17" s="9"/>
      <c r="B17" s="10"/>
      <c r="C17" s="11"/>
      <c r="D17" s="12"/>
      <c r="E17" s="11"/>
      <c r="F17" s="13"/>
      <c r="G17" s="13"/>
      <c r="H17" s="13"/>
      <c r="I17" s="13"/>
      <c r="J17" s="13"/>
      <c r="K17" s="14"/>
      <c r="L17" s="12"/>
      <c r="M17" s="12"/>
      <c r="N17" s="12"/>
      <c r="O17" s="11"/>
      <c r="P17" s="11"/>
      <c r="Q17" s="15"/>
    </row>
    <row r="18" customFormat="false" ht="15" hidden="false" customHeight="false" outlineLevel="0" collapsed="false">
      <c r="A18" s="9"/>
      <c r="B18" s="10"/>
      <c r="C18" s="11"/>
      <c r="D18" s="12"/>
      <c r="E18" s="11"/>
      <c r="F18" s="13"/>
      <c r="G18" s="13"/>
      <c r="H18" s="13"/>
      <c r="I18" s="13"/>
      <c r="J18" s="13"/>
      <c r="K18" s="14"/>
      <c r="L18" s="12"/>
      <c r="M18" s="12"/>
      <c r="N18" s="12"/>
      <c r="O18" s="11"/>
      <c r="P18" s="11"/>
      <c r="Q18" s="15"/>
    </row>
    <row r="19" customFormat="false" ht="15" hidden="false" customHeight="false" outlineLevel="0" collapsed="false">
      <c r="A19" s="9"/>
      <c r="B19" s="10"/>
      <c r="C19" s="11"/>
      <c r="D19" s="12"/>
      <c r="E19" s="11"/>
      <c r="F19" s="13"/>
      <c r="G19" s="13"/>
      <c r="H19" s="13"/>
      <c r="I19" s="13"/>
      <c r="J19" s="13"/>
      <c r="K19" s="14"/>
      <c r="L19" s="12"/>
      <c r="M19" s="12"/>
      <c r="N19" s="12"/>
      <c r="O19" s="11"/>
      <c r="P19" s="11"/>
      <c r="Q19" s="15"/>
    </row>
    <row r="20" customFormat="false" ht="15" hidden="false" customHeight="false" outlineLevel="0" collapsed="false">
      <c r="A20" s="9"/>
      <c r="B20" s="10"/>
      <c r="C20" s="11"/>
      <c r="D20" s="12"/>
      <c r="E20" s="11"/>
      <c r="F20" s="13"/>
      <c r="G20" s="13"/>
      <c r="H20" s="13"/>
      <c r="I20" s="13"/>
      <c r="J20" s="13"/>
      <c r="K20" s="14"/>
      <c r="L20" s="12"/>
      <c r="M20" s="12"/>
      <c r="N20" s="12"/>
      <c r="O20" s="11"/>
      <c r="P20" s="11"/>
      <c r="Q20" s="15"/>
    </row>
    <row r="21" customFormat="false" ht="15" hidden="false" customHeight="false" outlineLevel="0" collapsed="false">
      <c r="A21" s="9"/>
      <c r="B21" s="10"/>
      <c r="C21" s="11"/>
      <c r="D21" s="12"/>
      <c r="E21" s="11"/>
      <c r="F21" s="13"/>
      <c r="G21" s="13"/>
      <c r="H21" s="13"/>
      <c r="I21" s="13"/>
      <c r="J21" s="13"/>
      <c r="K21" s="14"/>
      <c r="L21" s="12"/>
      <c r="M21" s="12"/>
      <c r="N21" s="12"/>
      <c r="O21" s="11"/>
      <c r="P21" s="11"/>
      <c r="Q21" s="15"/>
    </row>
    <row r="22" customFormat="false" ht="15" hidden="false" customHeight="false" outlineLevel="0" collapsed="false">
      <c r="A22" s="9"/>
      <c r="B22" s="10"/>
      <c r="C22" s="11"/>
      <c r="D22" s="12"/>
      <c r="E22" s="11"/>
      <c r="F22" s="13"/>
      <c r="G22" s="13"/>
      <c r="H22" s="13"/>
      <c r="I22" s="13"/>
      <c r="J22" s="13"/>
      <c r="K22" s="14"/>
      <c r="L22" s="12"/>
      <c r="M22" s="12"/>
      <c r="N22" s="12"/>
      <c r="O22" s="11"/>
      <c r="P22" s="11"/>
      <c r="Q22" s="15"/>
    </row>
    <row r="23" customFormat="false" ht="15" hidden="false" customHeight="false" outlineLevel="0" collapsed="false">
      <c r="A23" s="9"/>
      <c r="B23" s="10"/>
      <c r="C23" s="11"/>
      <c r="D23" s="12"/>
      <c r="E23" s="11"/>
      <c r="F23" s="13"/>
      <c r="G23" s="13"/>
      <c r="H23" s="13"/>
      <c r="I23" s="13"/>
      <c r="J23" s="13"/>
      <c r="K23" s="14"/>
      <c r="L23" s="12"/>
      <c r="M23" s="12"/>
      <c r="N23" s="12"/>
      <c r="O23" s="11"/>
      <c r="P23" s="11"/>
      <c r="Q23" s="15"/>
    </row>
    <row r="24" customFormat="false" ht="15" hidden="false" customHeight="false" outlineLevel="0" collapsed="false">
      <c r="A24" s="9"/>
      <c r="B24" s="10"/>
      <c r="C24" s="11"/>
      <c r="D24" s="12"/>
      <c r="E24" s="11"/>
      <c r="F24" s="13"/>
      <c r="G24" s="13"/>
      <c r="H24" s="13"/>
      <c r="I24" s="13"/>
      <c r="J24" s="13"/>
      <c r="K24" s="14"/>
      <c r="L24" s="12"/>
      <c r="M24" s="12"/>
      <c r="N24" s="12"/>
      <c r="O24" s="11"/>
      <c r="P24" s="11"/>
      <c r="Q24" s="15"/>
    </row>
    <row r="25" customFormat="false" ht="15" hidden="false" customHeight="false" outlineLevel="0" collapsed="false">
      <c r="A25" s="9"/>
      <c r="B25" s="10"/>
      <c r="C25" s="11"/>
      <c r="D25" s="12"/>
      <c r="E25" s="11"/>
      <c r="F25" s="13"/>
      <c r="G25" s="13"/>
      <c r="H25" s="13"/>
      <c r="I25" s="13"/>
      <c r="J25" s="13"/>
      <c r="K25" s="14"/>
      <c r="L25" s="12"/>
      <c r="M25" s="12"/>
      <c r="N25" s="12"/>
      <c r="O25" s="11"/>
      <c r="P25" s="11"/>
      <c r="Q25" s="15"/>
    </row>
    <row r="26" customFormat="false" ht="15" hidden="false" customHeight="false" outlineLevel="0" collapsed="false">
      <c r="A26" s="9"/>
      <c r="B26" s="10"/>
      <c r="C26" s="11"/>
      <c r="D26" s="12"/>
      <c r="E26" s="11"/>
      <c r="F26" s="13"/>
      <c r="G26" s="13"/>
      <c r="H26" s="13"/>
      <c r="I26" s="13"/>
      <c r="J26" s="13"/>
      <c r="K26" s="14"/>
      <c r="L26" s="12"/>
      <c r="M26" s="12"/>
      <c r="N26" s="12"/>
      <c r="O26" s="11"/>
      <c r="P26" s="11"/>
      <c r="Q26" s="15"/>
    </row>
    <row r="27" customFormat="false" ht="15" hidden="false" customHeight="false" outlineLevel="0" collapsed="false">
      <c r="A27" s="9"/>
      <c r="B27" s="10"/>
      <c r="C27" s="11"/>
      <c r="D27" s="12"/>
      <c r="E27" s="11"/>
      <c r="F27" s="13"/>
      <c r="G27" s="13"/>
      <c r="H27" s="13"/>
      <c r="I27" s="13"/>
      <c r="J27" s="13"/>
      <c r="K27" s="14"/>
      <c r="L27" s="12"/>
      <c r="M27" s="12"/>
      <c r="N27" s="12"/>
      <c r="O27" s="11"/>
      <c r="P27" s="11"/>
      <c r="Q27" s="15"/>
    </row>
    <row r="28" customFormat="false" ht="15" hidden="false" customHeight="false" outlineLevel="0" collapsed="false">
      <c r="A28" s="9"/>
      <c r="B28" s="10"/>
      <c r="C28" s="11"/>
      <c r="D28" s="12"/>
      <c r="E28" s="11"/>
      <c r="F28" s="13"/>
      <c r="G28" s="13"/>
      <c r="H28" s="13"/>
      <c r="I28" s="13"/>
      <c r="J28" s="13"/>
      <c r="K28" s="14"/>
      <c r="L28" s="12"/>
      <c r="M28" s="12"/>
      <c r="N28" s="12"/>
      <c r="O28" s="11"/>
      <c r="P28" s="11"/>
      <c r="Q28" s="15"/>
    </row>
    <row r="29" customFormat="false" ht="15" hidden="false" customHeight="false" outlineLevel="0" collapsed="false">
      <c r="A29" s="9"/>
      <c r="B29" s="10"/>
      <c r="C29" s="11"/>
      <c r="D29" s="12"/>
      <c r="E29" s="11"/>
      <c r="F29" s="13"/>
      <c r="G29" s="13"/>
      <c r="H29" s="13"/>
      <c r="I29" s="13"/>
      <c r="J29" s="13"/>
      <c r="K29" s="14"/>
      <c r="L29" s="12"/>
      <c r="M29" s="12"/>
      <c r="N29" s="12"/>
      <c r="O29" s="11"/>
      <c r="P29" s="11"/>
      <c r="Q29" s="15"/>
    </row>
    <row r="30" customFormat="false" ht="15" hidden="false" customHeight="false" outlineLevel="0" collapsed="false">
      <c r="A30" s="9"/>
      <c r="B30" s="10"/>
      <c r="C30" s="11"/>
      <c r="D30" s="12"/>
      <c r="E30" s="11"/>
      <c r="F30" s="13"/>
      <c r="G30" s="13"/>
      <c r="H30" s="13"/>
      <c r="I30" s="13"/>
      <c r="J30" s="13"/>
      <c r="K30" s="14"/>
      <c r="L30" s="12"/>
      <c r="M30" s="12"/>
      <c r="N30" s="12"/>
      <c r="O30" s="11"/>
      <c r="P30" s="11"/>
      <c r="Q30" s="15"/>
    </row>
    <row r="31" customFormat="false" ht="15" hidden="false" customHeight="false" outlineLevel="0" collapsed="false">
      <c r="A31" s="9"/>
      <c r="B31" s="10"/>
      <c r="C31" s="11"/>
      <c r="D31" s="12"/>
      <c r="E31" s="11"/>
      <c r="F31" s="13"/>
      <c r="G31" s="13"/>
      <c r="H31" s="13"/>
      <c r="I31" s="13"/>
      <c r="J31" s="13"/>
      <c r="K31" s="14"/>
      <c r="L31" s="12"/>
      <c r="M31" s="12"/>
      <c r="N31" s="12"/>
      <c r="O31" s="11"/>
      <c r="P31" s="11"/>
      <c r="Q31" s="15"/>
    </row>
    <row r="32" customFormat="false" ht="15" hidden="false" customHeight="false" outlineLevel="0" collapsed="false">
      <c r="A32" s="9"/>
      <c r="B32" s="10"/>
      <c r="C32" s="11"/>
      <c r="D32" s="12"/>
      <c r="E32" s="11"/>
      <c r="F32" s="13"/>
      <c r="G32" s="13"/>
      <c r="H32" s="13"/>
      <c r="I32" s="13"/>
      <c r="J32" s="13"/>
      <c r="K32" s="14"/>
      <c r="L32" s="12"/>
      <c r="M32" s="12"/>
      <c r="N32" s="12"/>
      <c r="O32" s="11"/>
      <c r="P32" s="11"/>
      <c r="Q32" s="15"/>
    </row>
    <row r="33" customFormat="false" ht="15" hidden="false" customHeight="false" outlineLevel="0" collapsed="false">
      <c r="A33" s="9"/>
      <c r="B33" s="10"/>
      <c r="C33" s="11"/>
      <c r="D33" s="12"/>
      <c r="E33" s="11"/>
      <c r="F33" s="13"/>
      <c r="G33" s="13"/>
      <c r="H33" s="13"/>
      <c r="I33" s="13"/>
      <c r="J33" s="13"/>
      <c r="K33" s="14"/>
      <c r="L33" s="12"/>
      <c r="M33" s="12"/>
      <c r="N33" s="12"/>
      <c r="O33" s="11"/>
      <c r="P33" s="11"/>
      <c r="Q33" s="15"/>
    </row>
    <row r="34" customFormat="false" ht="15" hidden="false" customHeight="false" outlineLevel="0" collapsed="false">
      <c r="A34" s="9"/>
      <c r="B34" s="10"/>
      <c r="C34" s="11"/>
      <c r="D34" s="12"/>
      <c r="E34" s="11"/>
      <c r="F34" s="13"/>
      <c r="G34" s="13"/>
      <c r="H34" s="13"/>
      <c r="I34" s="13"/>
      <c r="J34" s="13"/>
      <c r="K34" s="14"/>
      <c r="L34" s="12"/>
      <c r="M34" s="12"/>
      <c r="N34" s="12"/>
      <c r="O34" s="11"/>
      <c r="P34" s="11"/>
      <c r="Q34" s="15"/>
    </row>
    <row r="35" customFormat="false" ht="15" hidden="false" customHeight="false" outlineLevel="0" collapsed="false">
      <c r="A35" s="9"/>
      <c r="B35" s="10"/>
      <c r="C35" s="11"/>
      <c r="D35" s="12"/>
      <c r="E35" s="11"/>
      <c r="F35" s="13"/>
      <c r="G35" s="13"/>
      <c r="H35" s="13"/>
      <c r="I35" s="13"/>
      <c r="J35" s="13"/>
      <c r="K35" s="14"/>
      <c r="L35" s="12"/>
      <c r="M35" s="12"/>
      <c r="N35" s="12"/>
      <c r="O35" s="11"/>
      <c r="P35" s="11"/>
      <c r="Q35" s="15"/>
    </row>
    <row r="36" customFormat="false" ht="15" hidden="false" customHeight="false" outlineLevel="0" collapsed="false">
      <c r="A36" s="9"/>
      <c r="B36" s="10"/>
      <c r="C36" s="11"/>
      <c r="D36" s="12"/>
      <c r="E36" s="11"/>
      <c r="F36" s="13"/>
      <c r="G36" s="13"/>
      <c r="H36" s="13"/>
      <c r="I36" s="13"/>
      <c r="J36" s="13"/>
      <c r="K36" s="14"/>
      <c r="L36" s="12"/>
      <c r="M36" s="12"/>
      <c r="N36" s="12"/>
      <c r="O36" s="11"/>
      <c r="P36" s="11"/>
      <c r="Q36" s="15"/>
    </row>
    <row r="37" customFormat="false" ht="15" hidden="false" customHeight="false" outlineLevel="0" collapsed="false">
      <c r="A37" s="9"/>
      <c r="B37" s="10"/>
      <c r="C37" s="11"/>
      <c r="D37" s="12"/>
      <c r="E37" s="11"/>
      <c r="F37" s="13"/>
      <c r="G37" s="13"/>
      <c r="H37" s="13"/>
      <c r="I37" s="13"/>
      <c r="J37" s="13"/>
      <c r="K37" s="14"/>
      <c r="L37" s="12"/>
      <c r="M37" s="12"/>
      <c r="N37" s="12"/>
      <c r="O37" s="11"/>
      <c r="P37" s="11"/>
      <c r="Q37" s="15"/>
    </row>
    <row r="38" customFormat="false" ht="15" hidden="false" customHeight="false" outlineLevel="0" collapsed="false">
      <c r="A38" s="9"/>
      <c r="B38" s="10"/>
      <c r="C38" s="11"/>
      <c r="D38" s="12"/>
      <c r="E38" s="11"/>
      <c r="F38" s="13"/>
      <c r="G38" s="13"/>
      <c r="H38" s="13"/>
      <c r="I38" s="13"/>
      <c r="J38" s="13"/>
      <c r="K38" s="14"/>
      <c r="L38" s="12"/>
      <c r="M38" s="12"/>
      <c r="N38" s="12"/>
      <c r="O38" s="11"/>
      <c r="P38" s="11"/>
      <c r="Q38" s="15"/>
    </row>
    <row r="39" customFormat="false" ht="15" hidden="false" customHeight="false" outlineLevel="0" collapsed="false">
      <c r="A39" s="9"/>
      <c r="B39" s="10"/>
      <c r="C39" s="11"/>
      <c r="D39" s="12"/>
      <c r="E39" s="11"/>
      <c r="F39" s="13"/>
      <c r="G39" s="13"/>
      <c r="H39" s="13"/>
      <c r="I39" s="13"/>
      <c r="J39" s="13"/>
      <c r="K39" s="14"/>
      <c r="L39" s="12"/>
      <c r="M39" s="12"/>
      <c r="N39" s="12"/>
      <c r="O39" s="11"/>
      <c r="P39" s="11"/>
      <c r="Q39" s="15"/>
    </row>
    <row r="40" customFormat="false" ht="15" hidden="false" customHeight="false" outlineLevel="0" collapsed="false">
      <c r="A40" s="9"/>
      <c r="B40" s="10"/>
      <c r="C40" s="11"/>
      <c r="D40" s="12"/>
      <c r="E40" s="11"/>
      <c r="F40" s="13"/>
      <c r="G40" s="13"/>
      <c r="H40" s="13"/>
      <c r="I40" s="13"/>
      <c r="J40" s="13"/>
      <c r="K40" s="14"/>
      <c r="L40" s="12"/>
      <c r="M40" s="12"/>
      <c r="N40" s="12"/>
      <c r="O40" s="11"/>
      <c r="P40" s="11"/>
      <c r="Q40" s="15"/>
    </row>
  </sheetData>
  <mergeCells count="5">
    <mergeCell ref="A1:Q1"/>
    <mergeCell ref="A2:Q2"/>
    <mergeCell ref="A3:E3"/>
    <mergeCell ref="F3:K3"/>
    <mergeCell ref="L3:Q3"/>
  </mergeCells>
  <dataValidations count="2">
    <dataValidation allowBlank="true" errorStyle="stop" operator="between" showDropDown="false" showErrorMessage="false" showInputMessage="false" sqref="F5:I40" type="list">
      <formula1>"SIM,NÃO"</formula1>
      <formula2>0</formula2>
    </dataValidation>
    <dataValidation allowBlank="true" errorStyle="stop" operator="between" showDropDown="false" showErrorMessage="false" showInputMessage="false" sqref="J5:J40" type="list">
      <formula1>"Avulsa,PN"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30" hidden="false" customHeight="true" outlineLevel="0" collapsed="false">
      <c r="A1" s="1" t="s">
        <v>48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49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16" t="s">
        <v>50</v>
      </c>
      <c r="B4" s="16"/>
    </row>
    <row r="5" customFormat="false" ht="15" hidden="false" customHeight="false" outlineLevel="0" collapsed="false">
      <c r="A5" s="17" t="s">
        <v>51</v>
      </c>
      <c r="B5" s="17" t="s">
        <v>52</v>
      </c>
    </row>
    <row r="6" customFormat="false" ht="15" hidden="false" customHeight="false" outlineLevel="0" collapsed="false">
      <c r="A6" s="18" t="s">
        <v>53</v>
      </c>
      <c r="B6" s="19" t="n">
        <f aca="false">COUNTA('CENTRAL DE LEADS'!$C$5:$C$1000)</f>
        <v>4</v>
      </c>
    </row>
    <row r="7" customFormat="false" ht="15" hidden="false" customHeight="false" outlineLevel="0" collapsed="false">
      <c r="A7" s="18" t="s">
        <v>54</v>
      </c>
      <c r="B7" s="19" t="n">
        <f aca="false">COUNTIF('CENTRAL DE LEADS'!$F$5:$F$1000,"SIM")</f>
        <v>0</v>
      </c>
    </row>
    <row r="8" customFormat="false" ht="15" hidden="false" customHeight="false" outlineLevel="0" collapsed="false">
      <c r="A8" s="18" t="s">
        <v>55</v>
      </c>
      <c r="B8" s="19" t="n">
        <f aca="false">COUNTIF('CENTRAL DE LEADS'!$G$5:$G$1000,"SIM")</f>
        <v>0</v>
      </c>
    </row>
    <row r="9" customFormat="false" ht="15" hidden="false" customHeight="false" outlineLevel="0" collapsed="false">
      <c r="A9" s="18" t="s">
        <v>56</v>
      </c>
      <c r="B9" s="19" t="n">
        <f aca="false">COUNTIF('CENTRAL DE LEADS'!$H$5:$H$1000,"SIM")</f>
        <v>0</v>
      </c>
    </row>
    <row r="10" customFormat="false" ht="15" hidden="false" customHeight="false" outlineLevel="0" collapsed="false">
      <c r="A10" s="18" t="s">
        <v>57</v>
      </c>
      <c r="B10" s="19" t="n">
        <f aca="false">COUNTIF('CENTRAL DE LEADS'!$I$5:$I$1000,"SIM")</f>
        <v>0</v>
      </c>
    </row>
    <row r="11" customFormat="false" ht="15" hidden="false" customHeight="false" outlineLevel="0" collapsed="false">
      <c r="A11" s="18" t="s">
        <v>58</v>
      </c>
      <c r="B11" s="20" t="n">
        <f aca="false">IFERROR(B7/B6,0)</f>
        <v>0</v>
      </c>
    </row>
    <row r="12" customFormat="false" ht="15" hidden="false" customHeight="false" outlineLevel="0" collapsed="false">
      <c r="A12" s="18" t="s">
        <v>59</v>
      </c>
      <c r="B12" s="20" t="n">
        <f aca="false">IFERROR(B10/B6,0)</f>
        <v>0</v>
      </c>
    </row>
    <row r="13" customFormat="false" ht="15" hidden="false" customHeight="false" outlineLevel="0" collapsed="false">
      <c r="A13" s="18" t="s">
        <v>60</v>
      </c>
      <c r="B13" s="20" t="n">
        <f aca="false">IFERROR(B10/B9,0)</f>
        <v>0</v>
      </c>
    </row>
    <row r="14" customFormat="false" ht="15" hidden="false" customHeight="false" outlineLevel="0" collapsed="false">
      <c r="A14" s="18" t="s">
        <v>61</v>
      </c>
      <c r="B14" s="21" t="n">
        <f aca="false">SUMIFS('CENTRAL DE LEADS'!$K$5:$K$1000,'CENTRAL DE LEADS'!$I$5:$I$1000,"SIM")</f>
        <v>0</v>
      </c>
    </row>
    <row r="15" customFormat="false" ht="15" hidden="false" customHeight="false" outlineLevel="0" collapsed="false">
      <c r="A15" s="18" t="s">
        <v>62</v>
      </c>
      <c r="B15" s="22" t="n">
        <v>0</v>
      </c>
    </row>
    <row r="16" customFormat="false" ht="15" hidden="false" customHeight="false" outlineLevel="0" collapsed="false">
      <c r="A16" s="18" t="s">
        <v>63</v>
      </c>
      <c r="B16" s="22" t="n">
        <v>0</v>
      </c>
    </row>
    <row r="17" customFormat="false" ht="15" hidden="false" customHeight="false" outlineLevel="0" collapsed="false">
      <c r="A17" s="18" t="s">
        <v>64</v>
      </c>
      <c r="B17" s="21" t="n">
        <f aca="false">IFERROR(B15/B6,0)</f>
        <v>0</v>
      </c>
    </row>
    <row r="18" customFormat="false" ht="15" hidden="false" customHeight="false" outlineLevel="0" collapsed="false">
      <c r="A18" s="18" t="s">
        <v>65</v>
      </c>
      <c r="B18" s="21" t="n">
        <f aca="false">IFERROR(B15/B7,0)</f>
        <v>0</v>
      </c>
    </row>
    <row r="19" customFormat="false" ht="15" hidden="false" customHeight="false" outlineLevel="0" collapsed="false">
      <c r="A19" s="18" t="s">
        <v>66</v>
      </c>
      <c r="B19" s="21" t="n">
        <f aca="false">IFERROR(B15/B10,0)</f>
        <v>0</v>
      </c>
    </row>
    <row r="20" customFormat="false" ht="15" hidden="false" customHeight="false" outlineLevel="0" collapsed="false">
      <c r="A20" s="18" t="s">
        <v>67</v>
      </c>
      <c r="B20" s="23" t="n">
        <f aca="false">IFERROR(B14/B15,0)</f>
        <v>0</v>
      </c>
    </row>
    <row r="22" customFormat="false" ht="21.75" hidden="false" customHeight="true" outlineLevel="0" collapsed="false">
      <c r="A22" s="16" t="s">
        <v>68</v>
      </c>
      <c r="B22" s="16"/>
      <c r="C22" s="16"/>
      <c r="D22" s="16"/>
      <c r="E22" s="16"/>
      <c r="F22" s="16"/>
    </row>
    <row r="23" customFormat="false" ht="22.35" hidden="false" customHeight="false" outlineLevel="0" collapsed="false">
      <c r="A23" s="24" t="s">
        <v>16</v>
      </c>
      <c r="B23" s="24" t="s">
        <v>69</v>
      </c>
      <c r="C23" s="24" t="s">
        <v>70</v>
      </c>
      <c r="D23" s="24" t="s">
        <v>71</v>
      </c>
      <c r="E23" s="24" t="s">
        <v>72</v>
      </c>
      <c r="F23" s="24" t="s">
        <v>73</v>
      </c>
    </row>
    <row r="24" customFormat="false" ht="15" hidden="false" customHeight="false" outlineLevel="0" collapsed="false">
      <c r="A24" s="25" t="s">
        <v>34</v>
      </c>
      <c r="B24" s="26" t="n">
        <f aca="false">COUNTIF('CENTRAL DE LEADS'!$L$5:$L$1000,A24)</f>
        <v>1</v>
      </c>
      <c r="C24" s="26" t="n">
        <f aca="false">COUNTIFS('CENTRAL DE LEADS'!$L$5:$L$1000,A24,'CENTRAL DE LEADS'!$I$5:$I$1000,"SIM")</f>
        <v>0</v>
      </c>
      <c r="D24" s="27" t="n">
        <f aca="false">SUMIFS('CENTRAL DE LEADS'!$K$5:$K$1000,'CENTRAL DE LEADS'!$L$5:$L$1000,A24,'CENTRAL DE LEADS'!$I$5:$I$1000,"SIM")</f>
        <v>0</v>
      </c>
      <c r="E24" s="28" t="n">
        <f aca="false">IFERROR(C24/B24,0)</f>
        <v>0</v>
      </c>
      <c r="F24" s="27" t="n">
        <f aca="false">IFERROR($B$15*B24/$B$6/C24,0)</f>
        <v>0</v>
      </c>
    </row>
    <row r="25" customFormat="false" ht="15" hidden="false" customHeight="false" outlineLevel="0" collapsed="false">
      <c r="A25" s="25" t="s">
        <v>26</v>
      </c>
      <c r="B25" s="26" t="n">
        <f aca="false">COUNTIF('CENTRAL DE LEADS'!$L$5:$L$1000,A25)</f>
        <v>2</v>
      </c>
      <c r="C25" s="26" t="n">
        <f aca="false">COUNTIFS('CENTRAL DE LEADS'!$L$5:$L$1000,A25,'CENTRAL DE LEADS'!$I$5:$I$1000,"SIM")</f>
        <v>0</v>
      </c>
      <c r="D25" s="27" t="n">
        <f aca="false">SUMIFS('CENTRAL DE LEADS'!$K$5:$K$1000,'CENTRAL DE LEADS'!$L$5:$L$1000,A25,'CENTRAL DE LEADS'!$I$5:$I$1000,"SIM")</f>
        <v>0</v>
      </c>
      <c r="E25" s="28" t="n">
        <f aca="false">IFERROR(C25/B25,0)</f>
        <v>0</v>
      </c>
      <c r="F25" s="27" t="n">
        <f aca="false">IFERROR($B$15*B25/$B$6/C25,0)</f>
        <v>0</v>
      </c>
    </row>
    <row r="26" customFormat="false" ht="15" hidden="false" customHeight="false" outlineLevel="0" collapsed="false">
      <c r="A26" s="25" t="s">
        <v>74</v>
      </c>
      <c r="B26" s="26" t="n">
        <f aca="false">COUNTIF('CENTRAL DE LEADS'!$L$5:$L$1000,A26)</f>
        <v>0</v>
      </c>
      <c r="C26" s="26" t="n">
        <f aca="false">COUNTIFS('CENTRAL DE LEADS'!$L$5:$L$1000,A26,'CENTRAL DE LEADS'!$I$5:$I$1000,"SIM")</f>
        <v>0</v>
      </c>
      <c r="D26" s="27" t="n">
        <f aca="false">SUMIFS('CENTRAL DE LEADS'!$K$5:$K$1000,'CENTRAL DE LEADS'!$L$5:$L$1000,A26,'CENTRAL DE LEADS'!$I$5:$I$1000,"SIM")</f>
        <v>0</v>
      </c>
      <c r="E26" s="28" t="n">
        <f aca="false">IFERROR(C26/B26,0)</f>
        <v>0</v>
      </c>
      <c r="F26" s="27" t="n">
        <f aca="false">IFERROR($B$15*B26/$B$6/C26,0)</f>
        <v>0</v>
      </c>
    </row>
    <row r="27" customFormat="false" ht="15" hidden="false" customHeight="false" outlineLevel="0" collapsed="false">
      <c r="A27" s="25" t="s">
        <v>47</v>
      </c>
      <c r="B27" s="26" t="n">
        <f aca="false">COUNTIF('CENTRAL DE LEADS'!$L$5:$L$1000,A27)</f>
        <v>1</v>
      </c>
      <c r="C27" s="26" t="n">
        <f aca="false">COUNTIFS('CENTRAL DE LEADS'!$L$5:$L$1000,A27,'CENTRAL DE LEADS'!$I$5:$I$1000,"SIM")</f>
        <v>0</v>
      </c>
      <c r="D27" s="27" t="n">
        <f aca="false">SUMIFS('CENTRAL DE LEADS'!$K$5:$K$1000,'CENTRAL DE LEADS'!$L$5:$L$1000,A27,'CENTRAL DE LEADS'!$I$5:$I$1000,"SIM")</f>
        <v>0</v>
      </c>
      <c r="E27" s="28" t="n">
        <f aca="false">IFERROR(C27/B27,0)</f>
        <v>0</v>
      </c>
      <c r="F27" s="27" t="n">
        <f aca="false">IFERROR($B$15*B27/$B$6/C27,0)</f>
        <v>0</v>
      </c>
    </row>
    <row r="28" customFormat="false" ht="15" hidden="false" customHeight="false" outlineLevel="0" collapsed="false">
      <c r="A28" s="25" t="s">
        <v>75</v>
      </c>
      <c r="B28" s="26" t="n">
        <f aca="false">COUNTIF('CENTRAL DE LEADS'!$L$5:$L$1000,A28)</f>
        <v>0</v>
      </c>
      <c r="C28" s="26" t="n">
        <f aca="false">COUNTIFS('CENTRAL DE LEADS'!$L$5:$L$1000,A28,'CENTRAL DE LEADS'!$I$5:$I$1000,"SIM")</f>
        <v>0</v>
      </c>
      <c r="D28" s="27" t="n">
        <f aca="false">SUMIFS('CENTRAL DE LEADS'!$K$5:$K$1000,'CENTRAL DE LEADS'!$L$5:$L$1000,A28,'CENTRAL DE LEADS'!$I$5:$I$1000,"SIM")</f>
        <v>0</v>
      </c>
      <c r="E28" s="28" t="n">
        <f aca="false">IFERROR(C28/B28,0)</f>
        <v>0</v>
      </c>
      <c r="F28" s="27" t="n">
        <f aca="false">IFERROR($B$15*B28/$B$6/C28,0)</f>
        <v>0</v>
      </c>
    </row>
  </sheetData>
  <mergeCells count="4">
    <mergeCell ref="A1:F1"/>
    <mergeCell ref="A2:F2"/>
    <mergeCell ref="A4:B4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2026-08-12T00:39:19Z</dcterms:created>
  <dc:creator>openpyxl</dc:creator>
  <dc:description/>
  <dc:language>en-US</dc:language>
  <cp:lastModifiedBy/>
  <dcterms:modified xsi:type="dcterms:W3CDTF">2026-08-12T00:39:19Z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